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'Prática'!$A$4:$D$11</definedName>
    <definedName name="_xlnm._FilterDatabase" localSheetId="2" hidden="1">'Explicação'!$A$4:$D$5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0" fontId="10" fillId="0" borderId="2" applyAlignment="1" pivotButton="0" quotePrefix="0" xfId="0">
      <alignment vertical="center" wrapText="1"/>
    </xf>
    <xf numFmtId="164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DominaExcel</author>
  </authors>
  <commentList>
    <comment ref="D11" authorId="0" shapeId="0">
      <text>
        <t>=SUBTOTAL(109;D5:D10)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SUBTOTAL — total que respeita filtros</t>
        </is>
      </c>
    </row>
    <row r="2"/>
    <row r="3">
      <c r="A3" s="2" t="inlineStr">
        <is>
          <t>Cenário real</t>
        </is>
      </c>
    </row>
    <row r="4">
      <c r="A4" s="3" t="inlineStr">
        <is>
          <t>Filtre uma filial e mantenha o total visível somente para as linhas exibidas.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Abra o filtro no cabeçalho Filial.</t>
        </is>
      </c>
    </row>
    <row r="9" ht="34" customHeight="1">
      <c r="A9" s="4" t="n">
        <v>2</v>
      </c>
      <c r="B9" s="14" t="inlineStr">
        <is>
          <t>Escolha Curitiba.</t>
        </is>
      </c>
    </row>
    <row r="10" ht="34" customHeight="1">
      <c r="A10" s="4" t="n">
        <v>3</v>
      </c>
      <c r="B10" s="14" t="inlineStr">
        <is>
          <t>Observe que o total ignora as linhas ocultas pelo filtro.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5" t="inlineStr">
        <is>
          <t>dado digitado que você pode alterar</t>
        </is>
      </c>
    </row>
    <row r="14">
      <c r="A14" s="6" t="inlineStr">
        <is>
          <t>Preto</t>
        </is>
      </c>
      <c r="B14" s="15" t="inlineStr">
        <is>
          <t>fórmula calculada pelo Excel</t>
        </is>
      </c>
    </row>
    <row r="15">
      <c r="A15" s="7" t="inlineStr">
        <is>
          <t>Verde</t>
        </is>
      </c>
      <c r="B15" s="15" t="inlineStr">
        <is>
          <t>valor ligado a outra guia</t>
        </is>
      </c>
    </row>
    <row r="16">
      <c r="A16" s="8" t="inlineStr">
        <is>
          <t>Amarelo</t>
        </is>
      </c>
      <c r="B16" s="15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</cols>
  <sheetData>
    <row r="1" ht="32" customHeight="1">
      <c r="A1" s="9" t="inlineStr">
        <is>
          <t>SUBTOTAL — total que respeita filtros</t>
        </is>
      </c>
    </row>
    <row r="2"/>
    <row r="3"/>
    <row r="4">
      <c r="A4" s="10" t="inlineStr">
        <is>
          <t>Filial</t>
        </is>
      </c>
      <c r="B4" s="10" t="inlineStr">
        <is>
          <t>Documento</t>
        </is>
      </c>
      <c r="C4" s="10" t="inlineStr">
        <is>
          <t>Categoria</t>
        </is>
      </c>
      <c r="D4" s="10" t="inlineStr">
        <is>
          <t>Valor</t>
        </is>
      </c>
    </row>
    <row r="5">
      <c r="A5" s="11" t="inlineStr">
        <is>
          <t>Curitiba</t>
        </is>
      </c>
      <c r="B5" s="11" t="inlineStr">
        <is>
          <t>NF-2101</t>
        </is>
      </c>
      <c r="C5" s="11" t="inlineStr">
        <is>
          <t>Material</t>
        </is>
      </c>
      <c r="D5" s="11" t="n">
        <v>780</v>
      </c>
      <c r="E5" s="11" t="n"/>
      <c r="F5" s="11" t="n"/>
      <c r="G5" s="11" t="n"/>
      <c r="H5" s="11" t="n"/>
    </row>
    <row r="6">
      <c r="A6" s="11" t="inlineStr">
        <is>
          <t>Londrina</t>
        </is>
      </c>
      <c r="B6" s="11" t="inlineStr">
        <is>
          <t>NF-2102</t>
        </is>
      </c>
      <c r="C6" s="11" t="inlineStr">
        <is>
          <t>Serviço</t>
        </is>
      </c>
      <c r="D6" s="11" t="n">
        <v>1250</v>
      </c>
      <c r="E6" s="11" t="n"/>
      <c r="F6" s="11" t="n"/>
      <c r="G6" s="11" t="n"/>
      <c r="H6" s="11" t="n"/>
    </row>
    <row r="7">
      <c r="A7" s="11" t="inlineStr">
        <is>
          <t>Curitiba</t>
        </is>
      </c>
      <c r="B7" s="11" t="inlineStr">
        <is>
          <t>NF-2103</t>
        </is>
      </c>
      <c r="C7" s="11" t="inlineStr">
        <is>
          <t>Frete</t>
        </is>
      </c>
      <c r="D7" s="11" t="n">
        <v>430</v>
      </c>
      <c r="E7" s="11" t="n"/>
      <c r="F7" s="11" t="n"/>
      <c r="G7" s="11" t="n"/>
      <c r="H7" s="11" t="n"/>
    </row>
    <row r="8">
      <c r="A8" s="11" t="inlineStr">
        <is>
          <t>Maringá</t>
        </is>
      </c>
      <c r="B8" s="11" t="inlineStr">
        <is>
          <t>NF-2104</t>
        </is>
      </c>
      <c r="C8" s="11" t="inlineStr">
        <is>
          <t>Material</t>
        </is>
      </c>
      <c r="D8" s="11" t="n">
        <v>610</v>
      </c>
      <c r="E8" s="11" t="n"/>
      <c r="F8" s="11" t="n"/>
      <c r="G8" s="11" t="n"/>
      <c r="H8" s="11" t="n"/>
    </row>
    <row r="9">
      <c r="A9" s="11" t="inlineStr">
        <is>
          <t>Curitiba</t>
        </is>
      </c>
      <c r="B9" s="11" t="inlineStr">
        <is>
          <t>NF-2105</t>
        </is>
      </c>
      <c r="C9" s="11" t="inlineStr">
        <is>
          <t>Serviço</t>
        </is>
      </c>
      <c r="D9" s="11" t="n">
        <v>980</v>
      </c>
      <c r="E9" s="11" t="n"/>
      <c r="F9" s="11" t="n"/>
      <c r="G9" s="11" t="n"/>
      <c r="H9" s="11" t="n"/>
    </row>
    <row r="10">
      <c r="A10" s="11" t="inlineStr">
        <is>
          <t>Londrina</t>
        </is>
      </c>
      <c r="B10" s="11" t="inlineStr">
        <is>
          <t>NF-2106</t>
        </is>
      </c>
      <c r="C10" s="11" t="inlineStr">
        <is>
          <t>Frete</t>
        </is>
      </c>
      <c r="D10" s="11" t="n">
        <v>290</v>
      </c>
      <c r="E10" s="11" t="n"/>
      <c r="F10" s="11" t="n"/>
      <c r="G10" s="11" t="n"/>
      <c r="H10" s="11" t="n"/>
    </row>
    <row r="11">
      <c r="A11" s="11" t="inlineStr">
        <is>
          <t>TOTAL VISÍVEL</t>
        </is>
      </c>
      <c r="B11" s="11" t="inlineStr"/>
      <c r="C11" s="11" t="inlineStr"/>
      <c r="D11" s="12">
        <f>SUBTOTAL(109,D5:D10)</f>
        <v/>
      </c>
      <c r="E11" s="11" t="n"/>
      <c r="F11" s="11" t="n"/>
      <c r="G11" s="11" t="n"/>
      <c r="H11" s="11" t="n"/>
    </row>
  </sheetData>
  <autoFilter ref="A4:D11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D11</t>
        </is>
      </c>
      <c r="B5" s="13">
        <f>SUBTOTAL(109;D5:D10)</f>
        <v/>
      </c>
      <c r="C5" s="13" t="inlineStr">
        <is>
          <t>O código 109 soma e também ignora linhas ocultas manualmente.</t>
        </is>
      </c>
      <c r="D5" s="13" t="inlineStr">
        <is>
          <t>Filtre outra filial.</t>
        </is>
      </c>
      <c r="E5" s="13" t="n"/>
      <c r="F5" s="13" t="n"/>
      <c r="G5" s="13" t="n"/>
      <c r="H5" s="13" t="n"/>
    </row>
  </sheetData>
  <autoFilter ref="A4:D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